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1605d2801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f3b5b6b067744a7b"/>
    <x:sheet xmlns:r="http://schemas.openxmlformats.org/officeDocument/2006/relationships" name="Kosztorys siłowni" sheetId="2" r:id="Ra973be4e7545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.00 [$zł-415]"/>
    <x:numFmt numFmtId="202" formatCode="0.0%"/>
  </x:numFmts>
  <x:fonts count="5">
    <x:font>
      <x:sz val="11"/>
      <x:name val="Carlito"/>
    </x:font>
    <x:font>
      <x:b/>
      <x:sz val="18"/>
      <x:color rgb="FFFFFFFF"/>
      <x:name val="Carlito"/>
    </x:font>
    <x:font>
      <x:sz val="11"/>
      <x:color rgb="FF17211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5D3D"/>
      </x:patternFill>
    </x:fill>
    <x:fill>
      <x:patternFill patternType="solid">
        <x:fgColor rgb="FFDCEEE6"/>
      </x:patternFill>
    </x:fill>
    <x:fill>
      <x:patternFill patternType="solid">
        <x:fgColor rgb="FFE8EFED"/>
      </x:patternFill>
    </x:fill>
  </x:fills>
  <x:borders count="2">
    <x:border/>
    <x:border>
      <x:left style="thin">
        <x:color rgb="FFD7E0DD"/>
      </x:left>
      <x:right style="thin">
        <x:color rgb="FFD7E0DD"/>
      </x:right>
      <x:top style="thin">
        <x:color rgb="FFD7E0DD"/>
      </x:top>
      <x:bottom style="thin">
        <x:color rgb="FFD7E0DD"/>
      </x:bottom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1" xfId="0" applyNumberFormat="1" applyFont="1" applyFill="1" applyBorder="1"/>
    <x:xf numFmtId="201" fontId="0" fillId="2" borderId="1" xfId="0" applyNumberFormat="1" applyFont="1" applyFill="1" applyBorder="1"/>
    <x:xf numFmtId="201" fontId="4" fillId="2" borderId="1" xfId="0" applyNumberFormat="1" applyFont="1" applyFill="1" applyBorder="1"/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202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1" fontId="3" fillId="3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b195d662d4c34" /><Relationship Type="http://schemas.openxmlformats.org/officeDocument/2006/relationships/theme" Target="/xl/theme/theme1.xml" Id="R2c32cf56a330472c" /><Relationship Type="http://schemas.openxmlformats.org/officeDocument/2006/relationships/sharedStrings" Target="/xl/sharedStrings.xml" Id="Ra5c3318d52ed4ebf" /><Relationship Type="http://schemas.openxmlformats.org/officeDocument/2006/relationships/worksheet" Target="/xl/worksheets/sheet1.xml" Id="Rf3b5b6b067744a7b" /><Relationship Type="http://schemas.openxmlformats.org/officeDocument/2006/relationships/worksheet" Target="/xl/worksheets/sheet2.xml" Id="Ra973be4e754546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.5600004196167" hidden="0" customWidth="1"/>
    <x:col min="3" max="3" width="9.329999923706055" hidden="0" customWidth="1"/>
    <x:col min="4" max="4" width="12.779999732971191" hidden="0" customWidth="1"/>
    <x:col min="5" max="5" width="15.329999923706055" hidden="0" customWidth="1"/>
    <x:col min="6" max="6" width="28" hidden="0" customWidth="1"/>
  </x:cols>
  <x:sheetData>
    <x:row r="1">
      <x:c r="A1" s="3" t="str">
        <x:v>Wyposażenie siłowni ZSZ5 - kosztorys roboczy</x:v>
      </x:c>
      <x:c r="B1" s="3"/>
      <x:c r="C1" s="3"/>
      <x:c r="D1" s="3"/>
      <x:c r="E1" s="3"/>
      <x:c r="F1" s="3"/>
    </x:row>
    <x:row r="2">
      <x:c r="A2" s="5" t="str">
        <x:v>Ceny orientacyjne, z prognozą kosztu po doliczeniu 20% rezerwy.</x:v>
      </x:c>
      <x:c r="B2" s="5"/>
      <x:c r="C2" s="5"/>
      <x:c r="D2" s="5"/>
      <x:c r="E2" s="5"/>
      <x:c r="F2" s="5"/>
    </x:row>
    <x:row r="4">
      <x:c r="A4" s="9" t="str">
        <x:v>Liczba pozycji</x:v>
      </x:c>
      <x:c r="B4" s="6" t="n">
        <x:v>26</x:v>
      </x:c>
    </x:row>
    <x:row r="5">
      <x:c r="A5" s="9" t="str">
        <x:v>Rezerwa cenowa</x:v>
      </x:c>
      <x:c r="B5" s="7" t="n">
        <x:v>0.2</x:v>
      </x:c>
    </x:row>
    <x:row r="6">
      <x:c r="A6" s="9" t="str">
        <x:v>Suma cen sprzętu</x:v>
      </x:c>
      <x:c r="B6" s="10" t="n">
        <x:f>'Kosztorys siłowni'!F29</x:f>
        <x:v>154627.97999999995</x:v>
      </x:c>
    </x:row>
    <x:row r="7">
      <x:c r="A7" s="9" t="str">
        <x:v>Prognozowana suma +20%</x:v>
      </x:c>
      <x:c r="B7" s="12" t="n">
        <x:f>'Kosztorys siłowni'!G29</x:f>
        <x:v>185553.57599999994</x:v>
      </x:c>
    </x:row>
    <x:row r="10">
      <x:c r="A10" s="14" t="str">
        <x:v>Grupa</x:v>
      </x:c>
      <x:c r="B10" s="14" t="str">
        <x:v>Liczba pozycji</x:v>
      </x:c>
      <x:c r="C10" s="14" t="str">
        <x:v>Suma cen</x:v>
      </x:c>
      <x:c r="D10" s="14" t="str">
        <x:v>Prognoza +20%</x:v>
      </x:c>
      <x:c r="E10" s="14" t="str">
        <x:v>Udział w prognozie</x:v>
      </x:c>
      <x:c r="F10" s="14" t="str">
        <x:v>Uwagi</x:v>
      </x:c>
    </x:row>
    <x:row r="11">
      <x:c r="A11" s="6" t="str">
        <x:v>Konstrukcja główna</x:v>
      </x:c>
      <x:c r="B11" s="6" t="n">
        <x:v>3</x:v>
      </x:c>
      <x:c r="C11" s="10" t="n">
        <x:f>SUMIFS('Kosztorys siłowni'!$F$2:$F$27,'Kosztorys siłowni'!$A$2:$A$27,A11)</x:f>
        <x:v>16297</x:v>
      </x:c>
      <x:c r="D11" s="10" t="n">
        <x:f>SUMIFS('Kosztorys siłowni'!$G$2:$G$27,'Kosztorys siłowni'!$A$2:$A$27,A11)</x:f>
        <x:v>19556.399999999998</x:v>
      </x:c>
      <x:c r="E11" s="15" t="n">
        <x:f>D11/$B$7</x:f>
        <x:v>0.105394896835618</x:v>
      </x:c>
      <x:c r="F11" s="6" t="str"/>
    </x:row>
    <x:row r="12">
      <x:c r="A12" s="6" t="str">
        <x:v>Wolne ciężary</x:v>
      </x:c>
      <x:c r="B12" s="6" t="n">
        <x:v>3</x:v>
      </x:c>
      <x:c r="C12" s="10" t="n">
        <x:f>SUMIFS('Kosztorys siłowni'!$F$2:$F$27,'Kosztorys siłowni'!$A$2:$A$27,A12)</x:f>
        <x:v>12372.6</x:v>
      </x:c>
      <x:c r="D12" s="10" t="n">
        <x:f>SUMIFS('Kosztorys siłowni'!$G$2:$G$27,'Kosztorys siłowni'!$A$2:$A$27,A12)</x:f>
        <x:v>14847.119999999999</x:v>
      </x:c>
      <x:c r="E12" s="15" t="n">
        <x:f>D12/$B$7</x:f>
        <x:v>0.08001527278568861</x:v>
      </x:c>
      <x:c r="F12" s="6" t="str"/>
    </x:row>
    <x:row r="13">
      <x:c r="A13" s="6" t="str">
        <x:v>Przechowywanie</x:v>
      </x:c>
      <x:c r="B13" s="6" t="n">
        <x:v>1</x:v>
      </x:c>
      <x:c r="C13" s="10" t="n">
        <x:f>SUMIFS('Kosztorys siłowni'!$F$2:$F$27,'Kosztorys siłowni'!$A$2:$A$27,A13)</x:f>
        <x:v>921.31</x:v>
      </x:c>
      <x:c r="D13" s="10" t="n">
        <x:f>SUMIFS('Kosztorys siłowni'!$G$2:$G$27,'Kosztorys siłowni'!$A$2:$A$27,A13)</x:f>
        <x:v>1105.572</x:v>
      </x:c>
      <x:c r="E13" s="15" t="n">
        <x:f>D13/$B$7</x:f>
        <x:v>0.005958236019121509</x:v>
      </x:c>
      <x:c r="F13" s="6" t="str"/>
    </x:row>
    <x:row r="14">
      <x:c r="A14" s="6" t="str">
        <x:v>Maszyny siłowe</x:v>
      </x:c>
      <x:c r="B14" s="6" t="n">
        <x:v>3</x:v>
      </x:c>
      <x:c r="C14" s="10" t="n">
        <x:f>SUMIFS('Kosztorys siłowni'!$F$2:$F$27,'Kosztorys siłowni'!$A$2:$A$27,A14)</x:f>
        <x:v>36710.76</x:v>
      </x:c>
      <x:c r="D14" s="10" t="n">
        <x:f>SUMIFS('Kosztorys siłowni'!$G$2:$G$27,'Kosztorys siłowni'!$A$2:$A$27,A14)</x:f>
        <x:v>44052.912</x:v>
      </x:c>
      <x:c r="E14" s="15" t="n">
        <x:f>D14/$B$7</x:f>
        <x:v>0.237413435783097</x:v>
      </x:c>
      <x:c r="F14" s="6" t="str"/>
    </x:row>
    <x:row r="15">
      <x:c r="A15" s="6" t="str">
        <x:v>Maszyny na nogi</x:v>
      </x:c>
      <x:c r="B15" s="6" t="n">
        <x:v>3</x:v>
      </x:c>
      <x:c r="C15" s="10" t="n">
        <x:f>SUMIFS('Kosztorys siłowni'!$F$2:$F$27,'Kosztorys siłowni'!$A$2:$A$27,A15)</x:f>
        <x:v>30662.57</x:v>
      </x:c>
      <x:c r="D15" s="10" t="n">
        <x:f>SUMIFS('Kosztorys siłowni'!$G$2:$G$27,'Kosztorys siłowni'!$A$2:$A$27,A15)</x:f>
        <x:v>36795.084</x:v>
      </x:c>
      <x:c r="E15" s="15" t="n">
        <x:f>D15/$B$7</x:f>
        <x:v>0.19829897538595545</x:v>
      </x:c>
      <x:c r="F15" s="6" t="str"/>
    </x:row>
    <x:row r="16">
      <x:c r="A16" s="6" t="str">
        <x:v>Ławki i gryfy</x:v>
      </x:c>
      <x:c r="B16" s="6" t="n">
        <x:v>2</x:v>
      </x:c>
      <x:c r="C16" s="10" t="n">
        <x:f>SUMIFS('Kosztorys siłowni'!$F$2:$F$27,'Kosztorys siłowni'!$A$2:$A$27,A16)</x:f>
        <x:v>5002.5599999999995</x:v>
      </x:c>
      <x:c r="D16" s="10" t="n">
        <x:f>SUMIFS('Kosztorys siłowni'!$G$2:$G$27,'Kosztorys siłowni'!$A$2:$A$27,A16)</x:f>
        <x:v>6003.072</x:v>
      </x:c>
      <x:c r="E16" s="15" t="n">
        <x:f>D16/$B$7</x:f>
        <x:v>0.032352230172055546</x:v>
      </x:c>
      <x:c r="F16" s="6" t="str"/>
    </x:row>
    <x:row r="17">
      <x:c r="A17" s="6" t="str">
        <x:v>Hantle</x:v>
      </x:c>
      <x:c r="B17" s="6" t="n">
        <x:v>1</x:v>
      </x:c>
      <x:c r="C17" s="10" t="n">
        <x:f>SUMIFS('Kosztorys siłowni'!$F$2:$F$27,'Kosztorys siłowni'!$A$2:$A$27,A17)</x:f>
        <x:v>8241.58</x:v>
      </x:c>
      <x:c r="D17" s="10" t="n">
        <x:f>SUMIFS('Kosztorys siłowni'!$G$2:$G$27,'Kosztorys siłowni'!$A$2:$A$27,A17)</x:f>
        <x:v>9889.895999999999</x:v>
      </x:c>
      <x:c r="E17" s="15" t="n">
        <x:f>D17/$B$7</x:f>
        <x:v>0.05329940933070458</x:v>
      </x:c>
      <x:c r="F17" s="6" t="str"/>
    </x:row>
    <x:row r="18">
      <x:c r="A18" s="6" t="str">
        <x:v>Cardio</x:v>
      </x:c>
      <x:c r="B18" s="6" t="n">
        <x:v>2</x:v>
      </x:c>
      <x:c r="C18" s="10" t="n">
        <x:f>SUMIFS('Kosztorys siłowni'!$F$2:$F$27,'Kosztorys siłowni'!$A$2:$A$27,A18)</x:f>
        <x:v>27625.239999999998</x:v>
      </x:c>
      <x:c r="D18" s="10" t="n">
        <x:f>SUMIFS('Kosztorys siłowni'!$G$2:$G$27,'Kosztorys siłowni'!$A$2:$A$27,A18)</x:f>
        <x:v>33150.288</x:v>
      </x:c>
      <x:c r="E18" s="15" t="n">
        <x:f>D18/$B$7</x:f>
        <x:v>0.17865615265749452</x:v>
      </x:c>
      <x:c r="F18" s="6" t="str"/>
    </x:row>
    <x:row r="19">
      <x:c r="A19" s="6" t="str">
        <x:v>Drabinki i drobny sprzęt</x:v>
      </x:c>
      <x:c r="B19" s="6" t="n">
        <x:v>4</x:v>
      </x:c>
      <x:c r="C19" s="10" t="n">
        <x:f>SUMIFS('Kosztorys siłowni'!$F$2:$F$27,'Kosztorys siłowni'!$A$2:$A$27,A19)</x:f>
        <x:v>5722.41</x:v>
      </x:c>
      <x:c r="D19" s="10" t="n">
        <x:f>SUMIFS('Kosztorys siłowni'!$G$2:$G$27,'Kosztorys siłowni'!$A$2:$A$27,A19)</x:f>
        <x:v>6866.892</x:v>
      </x:c>
      <x:c r="E19" s="15" t="n">
        <x:f>D19/$B$7</x:f>
        <x:v>0.037007597202007046</x:v>
      </x:c>
      <x:c r="F19" s="6" t="str"/>
    </x:row>
    <x:row r="20">
      <x:c r="A20" s="6" t="str">
        <x:v>Opcjonalne uzupełnienie</x:v>
      </x:c>
      <x:c r="B20" s="6" t="n">
        <x:v>2</x:v>
      </x:c>
      <x:c r="C20" s="10" t="n">
        <x:f>SUMIFS('Kosztorys siłowni'!$F$2:$F$27,'Kosztorys siłowni'!$A$2:$A$27,A20)</x:f>
        <x:v>3005.95</x:v>
      </x:c>
      <x:c r="D20" s="10" t="n">
        <x:f>SUMIFS('Kosztorys siłowni'!$G$2:$G$27,'Kosztorys siłowni'!$A$2:$A$27,A20)</x:f>
        <x:v>3607.1399999999994</x:v>
      </x:c>
      <x:c r="E20" s="15" t="n">
        <x:f>D20/$B$7</x:f>
        <x:v>0.01943988403651138</x:v>
      </x:c>
      <x:c r="F20" s="6" t="str"/>
    </x:row>
    <x:row r="21">
      <x:c r="A21" s="6" t="str">
        <x:v>Wyposażenie AV</x:v>
      </x:c>
      <x:c r="B21" s="6" t="n">
        <x:v>2</x:v>
      </x:c>
      <x:c r="C21" s="10" t="n">
        <x:f>SUMIFS('Kosztorys siłowni'!$F$2:$F$27,'Kosztorys siłowni'!$A$2:$A$27,A21)</x:f>
        <x:v>8066</x:v>
      </x:c>
      <x:c r="D21" s="10" t="n">
        <x:f>SUMIFS('Kosztorys siłowni'!$G$2:$G$27,'Kosztorys siłowni'!$A$2:$A$27,A21)</x:f>
        <x:v>9679.2</x:v>
      </x:c>
      <x:c r="E21" s="15" t="n">
        <x:f>D21/$B$7</x:f>
        <x:v>0.052163909791746635</x:v>
      </x:c>
      <x:c r="F21" s="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44" hidden="0" customWidth="1"/>
  </x:cols>
  <x:sheetData>
    <x:row r="1">
      <x:c r="A1" s="14" t="str">
        <x:v>Grupa</x:v>
      </x:c>
      <x:c r="B1" s="14" t="str">
        <x:v>Nazwa sprzętu</x:v>
      </x:c>
      <x:c r="C1" s="14" t="str">
        <x:v>Ilość</x:v>
      </x:c>
      <x:c r="D1" s="14" t="str">
        <x:v>Cena sprzętu</x:v>
      </x:c>
      <x:c r="E1" s="14" t="str">
        <x:v>Rezerwa</x:v>
      </x:c>
      <x:c r="F1" s="14" t="str">
        <x:v>Cena sprzętu razem</x:v>
      </x:c>
      <x:c r="G1" s="14" t="str">
        <x:v>Prognozowana cena +20%</x:v>
      </x:c>
      <x:c r="H1" s="14" t="str">
        <x:v>Źródło</x:v>
      </x:c>
    </x:row>
    <x:row r="2">
      <x:c r="A2" s="6" t="str">
        <x:v>Konstrukcja główna</x:v>
      </x:c>
      <x:c r="B2" s="19" t="str">
        <x:v>Half rack z suwnicą Smitha PROUD EDGE</x:v>
      </x:c>
      <x:c r="C2" s="6" t="str">
        <x:v>1</x:v>
      </x:c>
      <x:c r="D2" s="10" t="n">
        <x:v>12999</x:v>
      </x:c>
      <x:c r="E2" s="7" t="n">
        <x:v>0.2</x:v>
      </x:c>
      <x:c r="F2" s="10" t="n">
        <x:f>D2</x:f>
        <x:v>12999</x:v>
      </x:c>
      <x:c r="G2" s="10" t="n">
        <x:f>F2*(1+E2)</x:f>
        <x:v>15598.8</x:v>
      </x:c>
      <x:c r="H2" s="19" t="str">
        <x:v>https://trainingshowroom.com/half-rack-z-suwnica-smitha/3452-test-half-rack-z-suwnica-smitha.html</x:v>
      </x:c>
    </x:row>
    <x:row r="3">
      <x:c r="A3" s="6" t="str">
        <x:v>Konstrukcja główna</x:v>
      </x:c>
      <x:c r="B3" s="19" t="str">
        <x:v>Ławka regulowana L PROUD EDGE</x:v>
      </x:c>
      <x:c r="C3" s="6" t="str">
        <x:v>1</x:v>
      </x:c>
      <x:c r="D3" s="10" t="n">
        <x:v>2499</x:v>
      </x:c>
      <x:c r="E3" s="7" t="n">
        <x:v>0.2</x:v>
      </x:c>
      <x:c r="F3" s="10" t="n">
        <x:f>D3</x:f>
        <x:v>2499</x:v>
      </x:c>
      <x:c r="G3" s="10" t="n">
        <x:f>F3*(1+E3)</x:f>
        <x:v>2998.7999999999997</x:v>
      </x:c>
      <x:c r="H3" s="19" t="str">
        <x:v>https://trainingshowroom.com/proud-edge/3533-lawka-regulowana-l-proud-edge.html</x:v>
      </x:c>
    </x:row>
    <x:row r="4">
      <x:c r="A4" s="6" t="str">
        <x:v>Konstrukcja główna</x:v>
      </x:c>
      <x:c r="B4" s="19" t="str">
        <x:v>Stacja do dipów PROUD EDGE</x:v>
      </x:c>
      <x:c r="C4" s="6" t="str">
        <x:v>1</x:v>
      </x:c>
      <x:c r="D4" s="10" t="n">
        <x:v>799</x:v>
      </x:c>
      <x:c r="E4" s="7" t="n">
        <x:v>0.2</x:v>
      </x:c>
      <x:c r="F4" s="10" t="n">
        <x:f>D4</x:f>
        <x:v>799</x:v>
      </x:c>
      <x:c r="G4" s="10" t="n">
        <x:f>F4*(1+E4)</x:f>
        <x:v>958.8</x:v>
      </x:c>
      <x:c r="H4" s="19" t="str">
        <x:v>https://trainingshowroom.com/proud-edge/3497-stacja-do-dipow-proud-edge.html</x:v>
      </x:c>
    </x:row>
    <x:row r="5">
      <x:c r="A5" s="6" t="str">
        <x:v>Wolne ciężary</x:v>
      </x:c>
      <x:c r="B5" s="19" t="str">
        <x:v>Talerze Competition + gryf Weightlifting 20 kg PROUD</x:v>
      </x:c>
      <x:c r="C5" s="6" t="str">
        <x:v>2 zestawy</x:v>
      </x:c>
      <x:c r="D5" s="10" t="n">
        <x:v>11560</x:v>
      </x:c>
      <x:c r="E5" s="7" t="n">
        <x:v>0.2</x:v>
      </x:c>
      <x:c r="F5" s="10" t="n">
        <x:f>D5</x:f>
        <x:v>11560</x:v>
      </x:c>
      <x:c r="G5" s="10" t="n">
        <x:f>F5*(1+E5)</x:f>
        <x:v>13872</x:v>
      </x:c>
      <x:c r="H5" s="19" t="str">
        <x:v>https://trainingshowroom.com/promocje/3537-promo-talerze-competition-gryf-weightlifting-20kg-proud.html</x:v>
      </x:c>
    </x:row>
    <x:row r="6">
      <x:c r="A6" s="6" t="str">
        <x:v>Wolne ciężary</x:v>
      </x:c>
      <x:c r="B6" s="19" t="str">
        <x:v>Obciążenie olimpijskie Fractional Competition PROUD 0,5-2,5 kg</x:v>
      </x:c>
      <x:c r="C6" s="6" t="str">
        <x:v>1 zestaw</x:v>
      </x:c>
      <x:c r="D6" s="10" t="n">
        <x:v>749.99</x:v>
      </x:c>
      <x:c r="E6" s="7" t="n">
        <x:v>0.2</x:v>
      </x:c>
      <x:c r="F6" s="10" t="n">
        <x:f>D6</x:f>
        <x:v>749.99</x:v>
      </x:c>
      <x:c r="G6" s="10" t="n">
        <x:f>F6*(1+E6)</x:f>
        <x:v>899.9879999999999</x:v>
      </x:c>
      <x:c r="H6" s="19" t="str">
        <x:v>https://trainingshowroom.com/talerze/2335-zestaw-obciazen-olimpijskich-proud-competition-fractional-plate.html</x:v>
      </x:c>
    </x:row>
    <x:row r="7">
      <x:c r="A7" s="6" t="str">
        <x:v>Wolne ciężary</x:v>
      </x:c>
      <x:c r="B7" s="19" t="str">
        <x:v>Osłona na gryf PROUD Barbell Pad</x:v>
      </x:c>
      <x:c r="C7" s="6" t="str">
        <x:v>1</x:v>
      </x:c>
      <x:c r="D7" s="10" t="n">
        <x:v>62.61</x:v>
      </x:c>
      <x:c r="E7" s="7" t="n">
        <x:v>0.2</x:v>
      </x:c>
      <x:c r="F7" s="10" t="n">
        <x:f>D7</x:f>
        <x:v>62.61</x:v>
      </x:c>
      <x:c r="G7" s="10" t="n">
        <x:f>F7*(1+E7)</x:f>
        <x:v>75.13199999999999</x:v>
      </x:c>
      <x:c r="H7" s="19" t="str">
        <x:v>https://trainingshowroom.com/akcesoria/2488-ochraniacz-na-gryf-proud-barbell-pad.html</x:v>
      </x:c>
    </x:row>
    <x:row r="8">
      <x:c r="A8" s="6" t="str">
        <x:v>Przechowywanie</x:v>
      </x:c>
      <x:c r="B8" s="19" t="str">
        <x:v>Stojak na obciążenia i gryfy olimpijskie PROUD</x:v>
      </x:c>
      <x:c r="C8" s="6" t="str">
        <x:v>1</x:v>
      </x:c>
      <x:c r="D8" s="10" t="n">
        <x:v>921.31</x:v>
      </x:c>
      <x:c r="E8" s="7" t="n">
        <x:v>0.2</x:v>
      </x:c>
      <x:c r="F8" s="10" t="n">
        <x:f>D8</x:f>
        <x:v>921.31</x:v>
      </x:c>
      <x:c r="G8" s="10" t="n">
        <x:f>F8*(1+E8)</x:f>
        <x:v>1105.572</x:v>
      </x:c>
      <x:c r="H8" s="19" t="str">
        <x:v>https://trainingshowroom.com/outlet/2373-stojak-na-obciazenia-i-gryfy-olimpijskie-proud.html</x:v>
      </x:c>
    </x:row>
    <x:row r="9">
      <x:c r="A9" s="6" t="str">
        <x:v>Maszyny siłowe</x:v>
      </x:c>
      <x:c r="B9" s="19" t="str">
        <x:v>Wyciąg górny / dolny PROUD Champion Outlet</x:v>
      </x:c>
      <x:c r="C9" s="6" t="str">
        <x:v>1</x:v>
      </x:c>
      <x:c r="D9" s="10" t="n">
        <x:v>15081.31</x:v>
      </x:c>
      <x:c r="E9" s="7" t="n">
        <x:v>0.2</x:v>
      </x:c>
      <x:c r="F9" s="10" t="n">
        <x:f>D9</x:f>
        <x:v>15081.31</x:v>
      </x:c>
      <x:c r="G9" s="10" t="n">
        <x:f>F9*(1+E9)</x:f>
        <x:v>18097.572</x:v>
      </x:c>
      <x:c r="H9" s="19" t="str">
        <x:v>https://trainingshowroom.com/outlet/3506-wyciag-gorny-wyciag-dolny-proud-champion-outlet.html</x:v>
      </x:c>
    </x:row>
    <x:row r="10">
      <x:c r="A10" s="6" t="str">
        <x:v>Maszyny siłowe</x:v>
      </x:c>
      <x:c r="B10" s="19" t="str">
        <x:v>Podwójny uchwyt do wyciągu, trójkąt PROUD</x:v>
      </x:c>
      <x:c r="C10" s="6" t="str">
        <x:v>1</x:v>
      </x:c>
      <x:c r="D10" s="10" t="n">
        <x:v>109.07</x:v>
      </x:c>
      <x:c r="E10" s="7" t="n">
        <x:v>0.2</x:v>
      </x:c>
      <x:c r="F10" s="10" t="n">
        <x:f>D10</x:f>
        <x:v>109.07</x:v>
      </x:c>
      <x:c r="G10" s="10" t="n">
        <x:f>F10*(1+E10)</x:f>
        <x:v>130.884</x:v>
      </x:c>
      <x:c r="H10" s="19" t="str">
        <x:v>https://trainingshowroom.com/maszyny-silowe/2581-podwojny-uchwyt-do-wyciagu-ogumowany-trojkat-proud.html</x:v>
      </x:c>
    </x:row>
    <x:row r="11">
      <x:c r="A11" s="6" t="str">
        <x:v>Maszyny siłowe</x:v>
      </x:c>
      <x:c r="B11" s="19" t="str">
        <x:v>Wyciąg regulowany Dual Pulley PROUD Champion</x:v>
      </x:c>
      <x:c r="C11" s="6" t="str">
        <x:v>1</x:v>
      </x:c>
      <x:c r="D11" s="10" t="n">
        <x:v>21520.38</x:v>
      </x:c>
      <x:c r="E11" s="7" t="n">
        <x:v>0.2</x:v>
      </x:c>
      <x:c r="F11" s="10" t="n">
        <x:f>D11</x:f>
        <x:v>21520.38</x:v>
      </x:c>
      <x:c r="G11" s="10" t="n">
        <x:f>F11*(1+E11)</x:f>
        <x:v>25824.456000000002</x:v>
      </x:c>
      <x:c r="H11" s="19" t="str">
        <x:v>https://trainingshowroom.com/maszyny-silowe/2906-wyciag-regulowany-dual-pulley-proud-champion.html</x:v>
      </x:c>
    </x:row>
    <x:row r="12">
      <x:c r="A12" s="6" t="str">
        <x:v>Maszyny na nogi</x:v>
      </x:c>
      <x:c r="B12" s="19" t="str">
        <x:v>Maszyna do przysiadów Hack PROUD Champion</x:v>
      </x:c>
      <x:c r="C12" s="6" t="str">
        <x:v>1</x:v>
      </x:c>
      <x:c r="D12" s="10" t="n">
        <x:v>13269.37</x:v>
      </x:c>
      <x:c r="E12" s="7" t="n">
        <x:v>0.2</x:v>
      </x:c>
      <x:c r="F12" s="10" t="n">
        <x:f>D12</x:f>
        <x:v>13269.37</x:v>
      </x:c>
      <x:c r="G12" s="10" t="n">
        <x:f>F12*(1+E12)</x:f>
        <x:v>15923.244</x:v>
      </x:c>
      <x:c r="H12" s="19" t="str">
        <x:v>https://trainingshowroom.com/maszyny-silowe/2939-maszyna-do-przysiadow-proud-champion.html</x:v>
      </x:c>
    </x:row>
    <x:row r="13">
      <x:c r="A13" s="6" t="str">
        <x:v>Maszyny na nogi</x:v>
      </x:c>
      <x:c r="B13" s="19" t="str">
        <x:v>Seated Leg Extension Plate Loaded PROUD Champion</x:v>
      </x:c>
      <x:c r="C13" s="6" t="str">
        <x:v>1</x:v>
      </x:c>
      <x:c r="D13" s="10" t="n">
        <x:v>11108.99</x:v>
      </x:c>
      <x:c r="E13" s="7" t="n">
        <x:v>0.2</x:v>
      </x:c>
      <x:c r="F13" s="10" t="n">
        <x:f>D13</x:f>
        <x:v>11108.99</x:v>
      </x:c>
      <x:c r="G13" s="10" t="n">
        <x:f>F13*(1+E13)</x:f>
        <x:v>13330.787999999999</x:v>
      </x:c>
      <x:c r="H13" s="19" t="str">
        <x:v>https://trainingshowroom.com/maszyny-na-wolny-ciezar/3404-maszyna-seated-leg-extension-plate-loaded-proud-champion.html</x:v>
      </x:c>
    </x:row>
    <x:row r="14">
      <x:c r="A14" s="6" t="str">
        <x:v>Maszyny na nogi</x:v>
      </x:c>
      <x:c r="B14" s="19" t="str">
        <x:v>Maszyna do treningu łydek PROUD Champion</x:v>
      </x:c>
      <x:c r="C14" s="6" t="str">
        <x:v>1</x:v>
      </x:c>
      <x:c r="D14" s="10" t="n">
        <x:v>6284.21</x:v>
      </x:c>
      <x:c r="E14" s="7" t="n">
        <x:v>0.2</x:v>
      </x:c>
      <x:c r="F14" s="10" t="n">
        <x:f>D14</x:f>
        <x:v>6284.21</x:v>
      </x:c>
      <x:c r="G14" s="10" t="n">
        <x:f>F14*(1+E14)</x:f>
        <x:v>7541.052</x:v>
      </x:c>
      <x:c r="H14" s="19" t="str">
        <x:v>https://trainingshowroom.com/maszyny-silowe/2938-maszyna-do-lydek-proud-champion.html</x:v>
      </x:c>
    </x:row>
    <x:row r="15">
      <x:c r="A15" s="6" t="str">
        <x:v>Ławki i gryfy</x:v>
      </x:c>
      <x:c r="B15" s="19" t="str">
        <x:v>Modlitewnik PROUD Champion</x:v>
      </x:c>
      <x:c r="C15" s="6" t="str">
        <x:v>1</x:v>
      </x:c>
      <x:c r="D15" s="10" t="n">
        <x:v>4502.57</x:v>
      </x:c>
      <x:c r="E15" s="7" t="n">
        <x:v>0.2</x:v>
      </x:c>
      <x:c r="F15" s="10" t="n">
        <x:f>D15</x:f>
        <x:v>4502.57</x:v>
      </x:c>
      <x:c r="G15" s="10" t="n">
        <x:f>F15*(1+E15)</x:f>
        <x:v>5403.084</x:v>
      </x:c>
      <x:c r="H15" s="19" t="str">
        <x:v>https://trainingshowroom.com/champion/2970-modlitewnik-proud-champion.html?search_query=Modlitewnik</x:v>
      </x:c>
    </x:row>
    <x:row r="16">
      <x:c r="A16" s="6" t="str">
        <x:v>Ławki i gryfy</x:v>
      </x:c>
      <x:c r="B16" s="19" t="str">
        <x:v>Gryf olimpijski treningowy łamany Curl Silver PROUD</x:v>
      </x:c>
      <x:c r="C16" s="6" t="str">
        <x:v>1</x:v>
      </x:c>
      <x:c r="D16" s="10" t="n">
        <x:v>499.99</x:v>
      </x:c>
      <x:c r="E16" s="7" t="n">
        <x:v>0.2</x:v>
      </x:c>
      <x:c r="F16" s="10" t="n">
        <x:f>D16</x:f>
        <x:v>499.99</x:v>
      </x:c>
      <x:c r="G16" s="10" t="n">
        <x:f>F16*(1+E16)</x:f>
        <x:v>599.9879999999999</x:v>
      </x:c>
      <x:c r="H16" s="19" t="str">
        <x:v>https://trainingshowroom.com/sztangi/2596-gryf-olimpijski-treningowy-lamany-silver-proud.html</x:v>
      </x:c>
    </x:row>
    <x:row r="17">
      <x:c r="A17" s="6" t="str">
        <x:v>Hantle</x:v>
      </x:c>
      <x:c r="B17" s="19" t="str">
        <x:v>Hantle poliuretanowe Studio PROUD, zestaw 1-10 kg</x:v>
      </x:c>
      <x:c r="C17" s="6" t="str">
        <x:v>2 zestawy</x:v>
      </x:c>
      <x:c r="D17" s="10" t="n">
        <x:v>8241.58</x:v>
      </x:c>
      <x:c r="E17" s="7" t="n">
        <x:v>0.2</x:v>
      </x:c>
      <x:c r="F17" s="10" t="n">
        <x:f>D17</x:f>
        <x:v>8241.58</x:v>
      </x:c>
      <x:c r="G17" s="10" t="n">
        <x:f>F17*(1+E17)</x:f>
        <x:v>9889.895999999999</x:v>
      </x:c>
      <x:c r="H17" s="19" t="str">
        <x:v>https://trainingshowroom.com/hantle-i-kettlebells/3467-hantle-poliuretanowe-studio-zestaw-proud.html</x:v>
      </x:c>
    </x:row>
    <x:row r="18">
      <x:c r="A18" s="6" t="str">
        <x:v>Cardio</x:v>
      </x:c>
      <x:c r="B18" s="19" t="str">
        <x:v>Ergometr wioślarski AIR 2.0 PROUD</x:v>
      </x:c>
      <x:c r="C18" s="6" t="str">
        <x:v>2</x:v>
      </x:c>
      <x:c r="D18" s="10" t="n">
        <x:v>10720.12</x:v>
      </x:c>
      <x:c r="E18" s="7" t="n">
        <x:v>0.2</x:v>
      </x:c>
      <x:c r="F18" s="10" t="n">
        <x:f>D18</x:f>
        <x:v>10720.12</x:v>
      </x:c>
      <x:c r="G18" s="10" t="n">
        <x:f>F18*(1+E18)</x:f>
        <x:v>12864.144</x:v>
      </x:c>
      <x:c r="H18" s="19" t="str">
        <x:v>https://trainingshowroom.com/ergometry/2782-ergometr-wioslarski-air-proud-20.html?hsCtaAttrib=186811937891</x:v>
      </x:c>
    </x:row>
    <x:row r="19">
      <x:c r="A19" s="6" t="str">
        <x:v>Cardio</x:v>
      </x:c>
      <x:c r="B19" s="19" t="str">
        <x:v>Air Runner, bieżnia treningowa 2.0 Elite PROUD Outlet</x:v>
      </x:c>
      <x:c r="C19" s="6" t="str">
        <x:v>1</x:v>
      </x:c>
      <x:c r="D19" s="10" t="n">
        <x:v>16905.12</x:v>
      </x:c>
      <x:c r="E19" s="7" t="n">
        <x:v>0.2</x:v>
      </x:c>
      <x:c r="F19" s="10" t="n">
        <x:f>D19</x:f>
        <x:v>16905.12</x:v>
      </x:c>
      <x:c r="G19" s="10" t="n">
        <x:f>F19*(1+E19)</x:f>
        <x:v>20286.143999999997</x:v>
      </x:c>
      <x:c r="H19" s="19" t="str">
        <x:v>https://trainingshowroom.com/bieznie/3501-air-runner-bieznia-treningowa-20-elite-proud-outlet.html</x:v>
      </x:c>
    </x:row>
    <x:row r="20">
      <x:c r="A20" s="6" t="str">
        <x:v>Drabinki i drobny sprzęt</x:v>
      </x:c>
      <x:c r="B20" s="19" t="str">
        <x:v>Poręcze do drabinki PROUD Champion Outlet</x:v>
      </x:c>
      <x:c r="C20" s="6" t="str">
        <x:v>2</x:v>
      </x:c>
      <x:c r="D20" s="10" t="n">
        <x:v>2451.86</x:v>
      </x:c>
      <x:c r="E20" s="7" t="n">
        <x:v>0.2</x:v>
      </x:c>
      <x:c r="F20" s="10" t="n">
        <x:f>D20</x:f>
        <x:v>2451.86</x:v>
      </x:c>
      <x:c r="G20" s="10" t="n">
        <x:f>F20*(1+E20)</x:f>
        <x:v>2942.232</x:v>
      </x:c>
      <x:c r="H20" s="19" t="str">
        <x:v>https://trainingshowroom.com/outlet/3584-porecze-do-drabinki-proud-champion-outlet.html</x:v>
      </x:c>
    </x:row>
    <x:row r="21">
      <x:c r="A21" s="6" t="str">
        <x:v>Drabinki i drobny sprzęt</x:v>
      </x:c>
      <x:c r="B21" s="19" t="str">
        <x:v>Drabinka gimnastyczna PROUD</x:v>
      </x:c>
      <x:c r="C21" s="6" t="str">
        <x:v>2</x:v>
      </x:c>
      <x:c r="D21" s="10" t="n">
        <x:v>1939.18</x:v>
      </x:c>
      <x:c r="E21" s="7" t="n">
        <x:v>0.2</x:v>
      </x:c>
      <x:c r="F21" s="10" t="n">
        <x:f>D21</x:f>
        <x:v>1939.18</x:v>
      </x:c>
      <x:c r="G21" s="10" t="n">
        <x:f>F21*(1+E21)</x:f>
        <x:v>2327.016</x:v>
      </x:c>
      <x:c r="H21" s="19" t="str">
        <x:v>https://trainingshowroom.com/sprzet-gimnastyczny/2272-drabinka-gimnastyczna-proud.html</x:v>
      </x:c>
    </x:row>
    <x:row r="22">
      <x:c r="A22" s="6" t="str">
        <x:v>Drabinki i drobny sprzęt</x:v>
      </x:c>
      <x:c r="B22" s="19" t="str">
        <x:v>Drążek do podciągania do drabinki PROUD Champion Outlet</x:v>
      </x:c>
      <x:c r="C22" s="6" t="str">
        <x:v>2</x:v>
      </x:c>
      <x:c r="D22" s="10" t="n">
        <x:v>1251.38</x:v>
      </x:c>
      <x:c r="E22" s="7" t="n">
        <x:v>0.2</x:v>
      </x:c>
      <x:c r="F22" s="10" t="n">
        <x:f>D22</x:f>
        <x:v>1251.38</x:v>
      </x:c>
      <x:c r="G22" s="10" t="n">
        <x:f>F22*(1+E22)</x:f>
        <x:v>1501.6560000000002</x:v>
      </x:c>
      <x:c r="H22" s="19" t="str">
        <x:v>https://trainingshowroom.com/outlet/3585-drazek-do-podciagania-do-drabinki-proud-champion-outlet.html</x:v>
      </x:c>
    </x:row>
    <x:row r="23">
      <x:c r="A23" s="6" t="str">
        <x:v>Drabinki i drobny sprzęt</x:v>
      </x:c>
      <x:c r="B23" s="19" t="str">
        <x:v>Podkładki do przysiadów PROUD</x:v>
      </x:c>
      <x:c r="C23" s="6" t="str">
        <x:v>1 komplet</x:v>
      </x:c>
      <x:c r="D23" s="10" t="n">
        <x:v>79.99</x:v>
      </x:c>
      <x:c r="E23" s="7" t="n">
        <x:v>0.2</x:v>
      </x:c>
      <x:c r="F23" s="10" t="n">
        <x:f>D23</x:f>
        <x:v>79.99</x:v>
      </x:c>
      <x:c r="G23" s="10" t="n">
        <x:f>F23*(1+E23)</x:f>
        <x:v>95.98799999999999</x:v>
      </x:c>
      <x:c r="H23" s="19" t="str">
        <x:v>https://trainingshowroom.com/gumy-i-rollery/3356-podkladki-do-przysiadow-proud.html</x:v>
      </x:c>
    </x:row>
    <x:row r="24">
      <x:c r="A24" s="6" t="str">
        <x:v>Opcjonalne uzupełnienie</x:v>
      </x:c>
      <x:c r="B24" s="19" t="str">
        <x:v>Kettlebell żeliwny PRO, zestaw PROUD</x:v>
      </x:c>
      <x:c r="C24" s="6" t="str">
        <x:v>1 zestaw</x:v>
      </x:c>
      <x:c r="D24" s="10" t="n">
        <x:v>2625.99</x:v>
      </x:c>
      <x:c r="E24" s="7" t="n">
        <x:v>0.2</x:v>
      </x:c>
      <x:c r="F24" s="10" t="n">
        <x:f>D24</x:f>
        <x:v>2625.99</x:v>
      </x:c>
      <x:c r="G24" s="10" t="n">
        <x:f>F24*(1+E24)</x:f>
        <x:v>3151.1879999999996</x:v>
      </x:c>
      <x:c r="H24" s="19" t="str">
        <x:v>https://trainingshowroom.com/hantle-i-kettlebells/3465-hantla-proud-kettlebell-zestaw.html</x:v>
      </x:c>
    </x:row>
    <x:row r="25">
      <x:c r="A25" s="6" t="str">
        <x:v>Opcjonalne uzupełnienie</x:v>
      </x:c>
      <x:c r="B25" s="19" t="str">
        <x:v>Podłoga gumowa Standard PROUD pod kettlebell</x:v>
      </x:c>
      <x:c r="C25" s="6" t="str">
        <x:v>4 szt.</x:v>
      </x:c>
      <x:c r="D25" s="10" t="n">
        <x:v>379.96</x:v>
      </x:c>
      <x:c r="E25" s="7" t="n">
        <x:v>0.2</x:v>
      </x:c>
      <x:c r="F25" s="10" t="n">
        <x:f>D25</x:f>
        <x:v>379.96</x:v>
      </x:c>
      <x:c r="G25" s="10" t="n">
        <x:f>F25*(1+E25)</x:f>
        <x:v>455.95199999999994</x:v>
      </x:c>
      <x:c r="H25" s="19" t="str">
        <x:v>https://trainingshowroom.com/podlogi/3427-podloga-gumowa-standard-proud.html</x:v>
      </x:c>
    </x:row>
    <x:row r="26">
      <x:c r="A26" s="6" t="str">
        <x:v>Wyposażenie AV</x:v>
      </x:c>
      <x:c r="B26" s="19" t="str">
        <x:v>Projektor Full HD Epson EB-FH52</x:v>
      </x:c>
      <x:c r="C26" s="6" t="str">
        <x:v>1</x:v>
      </x:c>
      <x:c r="D26" s="10" t="n">
        <x:v>4559</x:v>
      </x:c>
      <x:c r="E26" s="7" t="n">
        <x:v>0.2</x:v>
      </x:c>
      <x:c r="F26" s="10" t="n">
        <x:f>D26</x:f>
        <x:v>4559</x:v>
      </x:c>
      <x:c r="G26" s="10" t="n">
        <x:f>F26*(1+E26)</x:f>
        <x:v>5470.8</x:v>
      </x:c>
      <x:c r="H26" s="19" t="str">
        <x:v>https://www.x-kom.pl/p/1224184-projektor-epson-eb-fh52.html</x:v>
      </x:c>
    </x:row>
    <x:row r="27">
      <x:c r="A27" s="6" t="str">
        <x:v>Wyposażenie AV</x:v>
      </x:c>
      <x:c r="B27" s="19" t="str">
        <x:v>Mobilny zestaw audio LD Systems Roadbuddy 10 HHD 2</x:v>
      </x:c>
      <x:c r="C27" s="6" t="str">
        <x:v>1</x:v>
      </x:c>
      <x:c r="D27" s="10" t="n">
        <x:v>3507</x:v>
      </x:c>
      <x:c r="E27" s="7" t="n">
        <x:v>0.2</x:v>
      </x:c>
      <x:c r="F27" s="10" t="n">
        <x:f>D27</x:f>
        <x:v>3507</x:v>
      </x:c>
      <x:c r="G27" s="10" t="n">
        <x:f>F27*(1+E27)</x:f>
        <x:v>4208.4</x:v>
      </x:c>
      <x:c r="H27" s="19" t="str">
        <x:v>https://www.ceneo.pl/89383056</x:v>
      </x:c>
    </x:row>
    <x:row r="28">
      <x:c r="A28" s="6"/>
      <x:c r="B28" s="6"/>
      <x:c r="C28" s="6"/>
      <x:c r="D28" s="10"/>
      <x:c r="E28" s="6"/>
      <x:c r="F28" s="10"/>
      <x:c r="G28" s="10"/>
      <x:c r="H28" s="6"/>
    </x:row>
    <x:row r="29">
      <x:c r="A29" s="17" t="str">
        <x:v>Razem</x:v>
      </x:c>
      <x:c r="B29" s="17"/>
      <x:c r="C29" s="17"/>
      <x:c r="D29" s="18"/>
      <x:c r="E29" s="17"/>
      <x:c r="F29" s="18" t="n">
        <x:f>SUM(F2:F27)</x:f>
        <x:v>154627.97999999995</x:v>
      </x:c>
      <x:c r="G29" s="18" t="n">
        <x:f>SUM(G2:G27)</x:f>
        <x:v>185553.57599999994</x:v>
      </x:c>
      <x:c r="H29" s="17"/>
    </x:row>
  </x:sheetData>
  <x:mergeCells>
    <x:mergeCell ref="A29:C29"/>
  </x:mergeCells>
  <x:pageMargins left="0.7" right="0.7" top="0.75" bottom="0.75" header="0.3" footer="0.3"/>
</x:worksheet>
</file>